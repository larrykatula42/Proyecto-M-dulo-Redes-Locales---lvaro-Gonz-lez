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ireccionamiento IP" sheetId="1" state="visible" r:id="rId1"/>
    <sheet xmlns:r="http://schemas.openxmlformats.org/officeDocument/2006/relationships" name="Parámetros de Red" sheetId="2" state="visible" r:id="rId2"/>
    <sheet xmlns:r="http://schemas.openxmlformats.org/officeDocument/2006/relationships" name="Tabla ARP Simulada" sheetId="3" state="visible" r:id="rId3"/>
    <sheet xmlns:r="http://schemas.openxmlformats.org/officeDocument/2006/relationships" name="Comandos Diagnóstico" sheetId="4" state="visible" r:id="rId4"/>
    <sheet xmlns:r="http://schemas.openxmlformats.org/officeDocument/2006/relationships" name="Checklist Verific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9"/>
    </font>
    <font>
      <name val="Arial"/>
      <b val="1"/>
      <color rgb="00FFFFFF"/>
      <sz val="10"/>
    </font>
    <font>
      <name val="Arial"/>
      <b val="1"/>
      <color rgb="000D6E6E"/>
      <sz val="10"/>
    </font>
    <font>
      <name val="Arial"/>
      <b val="1"/>
      <color rgb="00333333"/>
      <sz val="10"/>
    </font>
    <font>
      <name val="Arial"/>
      <color rgb="00333333"/>
      <sz val="10"/>
    </font>
    <font>
      <name val="Arial"/>
      <color rgb="001A1A1A"/>
      <sz val="10"/>
    </font>
    <font>
      <name val="Arial"/>
      <color rgb="00555555"/>
      <sz val="10"/>
    </font>
    <font>
      <name val="Arial"/>
      <i val="1"/>
      <color rgb="00888888"/>
      <sz val="9"/>
    </font>
    <font>
      <name val="Courier New"/>
      <b val="1"/>
      <color rgb="001A1A1A"/>
      <sz val="9"/>
    </font>
    <font>
      <name val="Arial"/>
      <color rgb="00333333"/>
      <sz val="9"/>
    </font>
    <font>
      <name val="Courier New"/>
      <color rgb="00006600"/>
      <sz val="9"/>
    </font>
    <font>
      <name val="Courier New"/>
      <color rgb="001A1A1A"/>
      <sz val="9"/>
    </font>
    <font>
      <name val="Arial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0D6E6E"/>
      </patternFill>
    </fill>
    <fill>
      <patternFill patternType="solid">
        <fgColor rgb="001A9090"/>
      </patternFill>
    </fill>
    <fill>
      <patternFill patternType="solid">
        <fgColor rgb="00D0EEEE"/>
      </patternFill>
    </fill>
    <fill>
      <patternFill patternType="solid">
        <fgColor rgb="00D6E4F0"/>
      </patternFill>
    </fill>
    <fill>
      <patternFill patternType="solid">
        <fgColor rgb="00FDE8D8"/>
      </patternFill>
    </fill>
    <fill>
      <patternFill patternType="solid">
        <fgColor rgb="00F4F6F7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  <col width="26" customWidth="1" min="9" max="9"/>
  </cols>
  <sheetData>
    <row r="1" ht="40" customHeight="1">
      <c r="A1" s="1" t="inlineStr">
        <is>
          <t>TechOficina S.L. — Plan de Direccionamiento IP Completo</t>
        </is>
      </c>
    </row>
    <row r="2" ht="16" customHeight="1">
      <c r="A2" s="2" t="inlineStr">
        <is>
          <t>TechOficina S.L.  ·  Módulo 0224 Redes Locales  ·  Curso 2025–2026</t>
        </is>
      </c>
    </row>
    <row r="3" ht="30" customHeight="1">
      <c r="A3" s="3" t="inlineStr">
        <is>
          <t>ID Equipo</t>
        </is>
      </c>
      <c r="B3" s="3" t="inlineStr">
        <is>
          <t>Tipo dispositivo</t>
        </is>
      </c>
      <c r="C3" s="3" t="inlineStr">
        <is>
          <t>Descripción / Usuario</t>
        </is>
      </c>
      <c r="D3" s="3" t="inlineStr">
        <is>
          <t>Dirección IP</t>
        </is>
      </c>
      <c r="E3" s="3" t="inlineStr">
        <is>
          <t>Máscara</t>
        </is>
      </c>
      <c r="F3" s="3" t="inlineStr">
        <is>
          <t>Puerta enlace</t>
        </is>
      </c>
      <c r="G3" s="3" t="inlineStr">
        <is>
          <t>DNS primario</t>
        </is>
      </c>
      <c r="H3" s="3" t="inlineStr">
        <is>
          <t>Tipo asignación</t>
        </is>
      </c>
      <c r="I3" s="3" t="inlineStr">
        <is>
          <t>Notas / VLAN</t>
        </is>
      </c>
    </row>
    <row r="4" ht="20" customHeight="1">
      <c r="A4" s="4">
        <f>== INFRAESTRUCTURA DE RED ===</f>
        <v/>
      </c>
    </row>
    <row r="5" ht="22" customHeight="1">
      <c r="A5" s="5" t="inlineStr">
        <is>
          <t>RT-001</t>
        </is>
      </c>
      <c r="B5" s="6" t="inlineStr">
        <is>
          <t>Router / Firewall</t>
        </is>
      </c>
      <c r="C5" s="6" t="inlineStr">
        <is>
          <t>Mikrotik hEX S — Gateway principal</t>
        </is>
      </c>
      <c r="D5" s="7" t="inlineStr">
        <is>
          <t>192.168.10.1</t>
        </is>
      </c>
      <c r="E5" s="8" t="inlineStr">
        <is>
          <t>255.255.255.0</t>
        </is>
      </c>
      <c r="F5" s="8" t="inlineStr">
        <is>
          <t>—</t>
        </is>
      </c>
      <c r="G5" s="8" t="inlineStr">
        <is>
          <t>8.8.8.8</t>
        </is>
      </c>
      <c r="H5" s="8" t="inlineStr">
        <is>
          <t>Estática manual</t>
        </is>
      </c>
      <c r="I5" s="6" t="inlineStr">
        <is>
          <t>VLAN 10 (gestión) / WAN: IP pública ISP</t>
        </is>
      </c>
    </row>
    <row r="6" ht="22" customHeight="1">
      <c r="A6" s="5" t="inlineStr">
        <is>
          <t>SW-001</t>
        </is>
      </c>
      <c r="B6" s="6" t="inlineStr">
        <is>
          <t>Switch gestionable</t>
        </is>
      </c>
      <c r="C6" s="6" t="inlineStr">
        <is>
          <t>TP-Link TL-SG1016DE — 16 puertos GbE</t>
        </is>
      </c>
      <c r="D6" s="7" t="inlineStr">
        <is>
          <t>192.168.10.2</t>
        </is>
      </c>
      <c r="E6" s="8" t="inlineStr">
        <is>
          <t>255.255.255.0</t>
        </is>
      </c>
      <c r="F6" s="8" t="inlineStr">
        <is>
          <t>192.168.10.1</t>
        </is>
      </c>
      <c r="G6" s="8" t="inlineStr">
        <is>
          <t>8.8.8.8</t>
        </is>
      </c>
      <c r="H6" s="8" t="inlineStr">
        <is>
          <t>Estática manual</t>
        </is>
      </c>
      <c r="I6" s="6" t="inlineStr">
        <is>
          <t>Interfaz web gestión VLAN</t>
        </is>
      </c>
    </row>
    <row r="7" ht="22" customHeight="1">
      <c r="A7" s="5" t="inlineStr">
        <is>
          <t>AP-001</t>
        </is>
      </c>
      <c r="B7" s="6" t="inlineStr">
        <is>
          <t>Punto acceso Wi-Fi</t>
        </is>
      </c>
      <c r="C7" s="6" t="inlineStr">
        <is>
          <t>TP-Link EAP225 — Wi-Fi 5 (802.11ac)</t>
        </is>
      </c>
      <c r="D7" s="7" t="inlineStr">
        <is>
          <t>192.168.10.5</t>
        </is>
      </c>
      <c r="E7" s="8" t="inlineStr">
        <is>
          <t>255.255.255.0</t>
        </is>
      </c>
      <c r="F7" s="8" t="inlineStr">
        <is>
          <t>192.168.10.1</t>
        </is>
      </c>
      <c r="G7" s="8" t="inlineStr">
        <is>
          <t>8.8.8.8</t>
        </is>
      </c>
      <c r="H7" s="8" t="inlineStr">
        <is>
          <t>Estática manual</t>
        </is>
      </c>
      <c r="I7" s="6" t="inlineStr">
        <is>
          <t>SSID: TechOficina-Corp / WPA3</t>
        </is>
      </c>
    </row>
    <row r="8" ht="20" customHeight="1">
      <c r="A8" s="9">
        <f>== SERVIDORES ===</f>
        <v/>
      </c>
    </row>
    <row r="9" ht="22" customHeight="1">
      <c r="A9" s="10" t="inlineStr">
        <is>
          <t>SRV-001</t>
        </is>
      </c>
      <c r="B9" s="11" t="inlineStr">
        <is>
          <t>Servidor NAS</t>
        </is>
      </c>
      <c r="C9" s="11" t="inlineStr">
        <is>
          <t>Synology DS923+ — Almacenamiento + backups</t>
        </is>
      </c>
      <c r="D9" s="12" t="inlineStr">
        <is>
          <t>192.168.10.20</t>
        </is>
      </c>
      <c r="E9" s="13" t="inlineStr">
        <is>
          <t>255.255.255.0</t>
        </is>
      </c>
      <c r="F9" s="13" t="inlineStr">
        <is>
          <t>192.168.10.1</t>
        </is>
      </c>
      <c r="G9" s="13" t="inlineStr">
        <is>
          <t>8.8.8.8</t>
        </is>
      </c>
      <c r="H9" s="13" t="inlineStr">
        <is>
          <t>Estática manual</t>
        </is>
      </c>
      <c r="I9" s="11" t="inlineStr">
        <is>
          <t>SMB, Active Directory básico</t>
        </is>
      </c>
    </row>
    <row r="10" ht="20" customHeight="1">
      <c r="A10" s="14">
        <f>== PERIFÉRICOS COMPARTIDOS ===</f>
        <v/>
      </c>
    </row>
    <row r="11" ht="22" customHeight="1">
      <c r="A11" s="15" t="inlineStr">
        <is>
          <t>IMP-001</t>
        </is>
      </c>
      <c r="B11" s="16" t="inlineStr">
        <is>
          <t>Impresora MFP</t>
        </is>
      </c>
      <c r="C11" s="16" t="inlineStr">
        <is>
          <t>HP LaserJet Pro MFP M428dw — Impresión en red</t>
        </is>
      </c>
      <c r="D11" s="17" t="inlineStr">
        <is>
          <t>192.168.10.30</t>
        </is>
      </c>
      <c r="E11" s="18" t="inlineStr">
        <is>
          <t>255.255.255.0</t>
        </is>
      </c>
      <c r="F11" s="18" t="inlineStr">
        <is>
          <t>192.168.10.1</t>
        </is>
      </c>
      <c r="G11" s="18" t="inlineStr">
        <is>
          <t>8.8.8.8</t>
        </is>
      </c>
      <c r="H11" s="18" t="inlineStr">
        <is>
          <t>Estática manual</t>
        </is>
      </c>
      <c r="I11" s="16" t="inlineStr">
        <is>
          <t>Gestión en http://192.168.10.30</t>
        </is>
      </c>
    </row>
    <row r="12" ht="20" customHeight="1">
      <c r="A12" s="19">
        <f>== PUESTOS DE TRABAJO (cable) ===</f>
        <v/>
      </c>
    </row>
    <row r="13" ht="22" customHeight="1">
      <c r="A13" s="20" t="inlineStr">
        <is>
          <t>PC-001</t>
        </is>
      </c>
      <c r="B13" s="21" t="inlineStr">
        <is>
          <t>PC sobremesa</t>
        </is>
      </c>
      <c r="C13" s="21" t="inlineStr">
        <is>
          <t>Carlos López — Gerencia</t>
        </is>
      </c>
      <c r="D13" s="22" t="inlineStr">
        <is>
          <t>192.168.10.11</t>
        </is>
      </c>
      <c r="E13" s="23" t="inlineStr">
        <is>
          <t>255.255.255.0</t>
        </is>
      </c>
      <c r="F13" s="23" t="inlineStr">
        <is>
          <t>192.168.10.1</t>
        </is>
      </c>
      <c r="G13" s="23" t="inlineStr">
        <is>
          <t>8.8.8.8</t>
        </is>
      </c>
      <c r="H13" s="23" t="inlineStr">
        <is>
          <t>DHCP — reserva MAC</t>
        </is>
      </c>
      <c r="I13" s="21" t="inlineStr">
        <is>
          <t>MAC registrada en router</t>
        </is>
      </c>
    </row>
    <row r="14" ht="22" customHeight="1">
      <c r="A14" s="24" t="inlineStr">
        <is>
          <t>PC-002</t>
        </is>
      </c>
      <c r="B14" s="25" t="inlineStr">
        <is>
          <t>PC sobremesa</t>
        </is>
      </c>
      <c r="C14" s="25" t="inlineStr">
        <is>
          <t>María García — Técnica Senior</t>
        </is>
      </c>
      <c r="D14" s="26" t="inlineStr">
        <is>
          <t>192.168.10.12</t>
        </is>
      </c>
      <c r="E14" s="27" t="inlineStr">
        <is>
          <t>255.255.255.0</t>
        </is>
      </c>
      <c r="F14" s="27" t="inlineStr">
        <is>
          <t>192.168.10.1</t>
        </is>
      </c>
      <c r="G14" s="27" t="inlineStr">
        <is>
          <t>8.8.8.8</t>
        </is>
      </c>
      <c r="H14" s="27" t="inlineStr">
        <is>
          <t>DHCP — reserva MAC</t>
        </is>
      </c>
      <c r="I14" s="25" t="inlineStr">
        <is>
          <t>MAC registrada en router</t>
        </is>
      </c>
    </row>
    <row r="15" ht="22" customHeight="1">
      <c r="A15" s="20" t="inlineStr">
        <is>
          <t>PC-003</t>
        </is>
      </c>
      <c r="B15" s="21" t="inlineStr">
        <is>
          <t>PC sobremesa</t>
        </is>
      </c>
      <c r="C15" s="21" t="inlineStr">
        <is>
          <t>Luis Torres — Técnico Junior</t>
        </is>
      </c>
      <c r="D15" s="22" t="inlineStr">
        <is>
          <t>192.168.10.13</t>
        </is>
      </c>
      <c r="E15" s="23" t="inlineStr">
        <is>
          <t>255.255.255.0</t>
        </is>
      </c>
      <c r="F15" s="23" t="inlineStr">
        <is>
          <t>192.168.10.1</t>
        </is>
      </c>
      <c r="G15" s="23" t="inlineStr">
        <is>
          <t>8.8.8.8</t>
        </is>
      </c>
      <c r="H15" s="23" t="inlineStr">
        <is>
          <t>DHCP — reserva MAC</t>
        </is>
      </c>
      <c r="I15" s="21" t="inlineStr">
        <is>
          <t>MAC registrada en router</t>
        </is>
      </c>
    </row>
    <row r="16" ht="22" customHeight="1">
      <c r="A16" s="24" t="inlineStr">
        <is>
          <t>PC-004</t>
        </is>
      </c>
      <c r="B16" s="25" t="inlineStr">
        <is>
          <t>PC sobremesa</t>
        </is>
      </c>
      <c r="C16" s="25" t="inlineStr">
        <is>
          <t>Pedro Sánchez — Administración</t>
        </is>
      </c>
      <c r="D16" s="26" t="inlineStr">
        <is>
          <t>192.168.10.14</t>
        </is>
      </c>
      <c r="E16" s="27" t="inlineStr">
        <is>
          <t>255.255.255.0</t>
        </is>
      </c>
      <c r="F16" s="27" t="inlineStr">
        <is>
          <t>192.168.10.1</t>
        </is>
      </c>
      <c r="G16" s="27" t="inlineStr">
        <is>
          <t>8.8.8.8</t>
        </is>
      </c>
      <c r="H16" s="27" t="inlineStr">
        <is>
          <t>DHCP — reserva MAC</t>
        </is>
      </c>
      <c r="I16" s="25" t="inlineStr">
        <is>
          <t>MAC registrada en router</t>
        </is>
      </c>
    </row>
    <row r="17" ht="20" customHeight="1">
      <c r="A17" s="28">
        <f>== PORTÁTILES / WI-FI ===</f>
        <v/>
      </c>
    </row>
    <row r="18" ht="22" customHeight="1">
      <c r="A18" s="29" t="inlineStr">
        <is>
          <t>LT-001</t>
        </is>
      </c>
      <c r="B18" s="30" t="inlineStr">
        <is>
          <t>Portátil</t>
        </is>
      </c>
      <c r="C18" s="30" t="inlineStr">
        <is>
          <t>María García — Uso externo / Wi-Fi</t>
        </is>
      </c>
      <c r="D18" s="31" t="inlineStr">
        <is>
          <t>192.168.10.51</t>
        </is>
      </c>
      <c r="E18" s="32" t="inlineStr">
        <is>
          <t>255.255.255.0</t>
        </is>
      </c>
      <c r="F18" s="32" t="inlineStr">
        <is>
          <t>192.168.10.1</t>
        </is>
      </c>
      <c r="G18" s="32" t="inlineStr">
        <is>
          <t>8.8.8.8</t>
        </is>
      </c>
      <c r="H18" s="32" t="inlineStr">
        <is>
          <t>DHCP dinámica</t>
        </is>
      </c>
      <c r="I18" s="30" t="inlineStr">
        <is>
          <t>Rango 50–150 asignado por router</t>
        </is>
      </c>
    </row>
    <row r="19" ht="22" customHeight="1">
      <c r="A19" s="29" t="inlineStr">
        <is>
          <t>LT-002</t>
        </is>
      </c>
      <c r="B19" s="30" t="inlineStr">
        <is>
          <t>Portátil</t>
        </is>
      </c>
      <c r="C19" s="30" t="inlineStr">
        <is>
          <t>Luis Torres — Uso externo / Wi-Fi</t>
        </is>
      </c>
      <c r="D19" s="31" t="inlineStr">
        <is>
          <t>192.168.10.52</t>
        </is>
      </c>
      <c r="E19" s="32" t="inlineStr">
        <is>
          <t>255.255.255.0</t>
        </is>
      </c>
      <c r="F19" s="32" t="inlineStr">
        <is>
          <t>192.168.10.1</t>
        </is>
      </c>
      <c r="G19" s="32" t="inlineStr">
        <is>
          <t>8.8.8.8</t>
        </is>
      </c>
      <c r="H19" s="32" t="inlineStr">
        <is>
          <t>DHCP dinámica</t>
        </is>
      </c>
      <c r="I19" s="30" t="inlineStr">
        <is>
          <t>Rango 50–150 asignado por router</t>
        </is>
      </c>
    </row>
    <row r="20" ht="20" customHeight="1">
      <c r="A20" s="33">
        <f>== RANGO DISPONIBLE ===</f>
        <v/>
      </c>
    </row>
    <row r="21" ht="22" customHeight="1">
      <c r="A21" s="34" t="inlineStr">
        <is>
          <t>LIBRE</t>
        </is>
      </c>
      <c r="B21" s="35" t="inlineStr">
        <is>
          <t>Rango libre DHCP</t>
        </is>
      </c>
      <c r="C21" s="35" t="inlineStr">
        <is>
          <t>Disponible para nuevos equipos</t>
        </is>
      </c>
      <c r="D21" s="36" t="inlineStr">
        <is>
          <t>192.168.10.50–150</t>
        </is>
      </c>
      <c r="E21" s="37" t="inlineStr">
        <is>
          <t>255.255.255.0</t>
        </is>
      </c>
      <c r="F21" s="37" t="inlineStr">
        <is>
          <t>192.168.10.1</t>
        </is>
      </c>
      <c r="G21" s="37" t="inlineStr">
        <is>
          <t>8.8.8.8</t>
        </is>
      </c>
      <c r="H21" s="37" t="inlineStr">
        <is>
          <t>DHCP dinámica</t>
        </is>
      </c>
      <c r="I21" s="35" t="inlineStr">
        <is>
          <t>100 IPs libres para crecer</t>
        </is>
      </c>
    </row>
  </sheetData>
  <mergeCells count="8">
    <mergeCell ref="A2:I2"/>
    <mergeCell ref="A10:I10"/>
    <mergeCell ref="A1:I1"/>
    <mergeCell ref="A17:I17"/>
    <mergeCell ref="A8:I8"/>
    <mergeCell ref="A12:I12"/>
    <mergeCell ref="A4:I4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8" customWidth="1" min="3" max="3"/>
  </cols>
  <sheetData>
    <row r="1" ht="40" customHeight="1">
      <c r="A1" s="1" t="inlineStr">
        <is>
          <t>Parámetros Globales de la Red — TechOficina S.L.</t>
        </is>
      </c>
    </row>
    <row r="2" ht="16" customHeight="1">
      <c r="A2" s="2" t="inlineStr">
        <is>
          <t>TechOficina S.L.  ·  Módulo 0224 Redes Locales  ·  Curso 2025–2026</t>
        </is>
      </c>
    </row>
    <row r="3" ht="30" customHeight="1">
      <c r="A3" s="3" t="inlineStr">
        <is>
          <t>Parámetro de red</t>
        </is>
      </c>
      <c r="B3" s="3" t="inlineStr">
        <is>
          <t>Valor</t>
        </is>
      </c>
      <c r="C3" s="3" t="inlineStr">
        <is>
          <t>Explicación</t>
        </is>
      </c>
    </row>
    <row r="4" ht="22" customHeight="1">
      <c r="A4" s="20" t="inlineStr">
        <is>
          <t>Dirección de red</t>
        </is>
      </c>
      <c r="B4" s="23" t="inlineStr">
        <is>
          <t>192.168.10.0</t>
        </is>
      </c>
      <c r="C4" s="21" t="inlineStr">
        <is>
          <t>Identifica a toda la red. No se asigna a ningún equipo.</t>
        </is>
      </c>
    </row>
    <row r="5" ht="22" customHeight="1">
      <c r="A5" s="24" t="inlineStr">
        <is>
          <t>Máscara de subred</t>
        </is>
      </c>
      <c r="B5" s="27" t="inlineStr">
        <is>
          <t>255.255.255.0  (/24)</t>
        </is>
      </c>
      <c r="C5" s="25" t="inlineStr">
        <is>
          <t>Define el tamaño de la red: 254 hosts posibles.</t>
        </is>
      </c>
    </row>
    <row r="6" ht="22" customHeight="1">
      <c r="A6" s="20" t="inlineStr">
        <is>
          <t>Número de hosts</t>
        </is>
      </c>
      <c r="B6" s="23" t="inlineStr">
        <is>
          <t>254 equipos</t>
        </is>
      </c>
      <c r="C6" s="21" t="inlineStr">
        <is>
          <t>Del .1 al .254. El .0 es la red y el .255 es broadcast.</t>
        </is>
      </c>
    </row>
    <row r="7" ht="22" customHeight="1">
      <c r="A7" s="24" t="inlineStr">
        <is>
          <t>Dirección broadcast</t>
        </is>
      </c>
      <c r="B7" s="27" t="inlineStr">
        <is>
          <t>192.168.10.255</t>
        </is>
      </c>
      <c r="C7" s="25" t="inlineStr">
        <is>
          <t>Dirección para enviar un mensaje a TODOS los equipos.</t>
        </is>
      </c>
    </row>
    <row r="8" ht="22" customHeight="1">
      <c r="A8" s="20" t="inlineStr">
        <is>
          <t>Puerta de enlace (GW)</t>
        </is>
      </c>
      <c r="B8" s="23" t="inlineStr">
        <is>
          <t>192.168.10.1</t>
        </is>
      </c>
      <c r="C8" s="21" t="inlineStr">
        <is>
          <t>IP del router. Todo el tráfico hacia Internet pasa por aquí.</t>
        </is>
      </c>
    </row>
    <row r="9" ht="22" customHeight="1">
      <c r="A9" s="24" t="inlineStr">
        <is>
          <t>DNS primario</t>
        </is>
      </c>
      <c r="B9" s="27" t="inlineStr">
        <is>
          <t>8.8.8.8</t>
        </is>
      </c>
      <c r="C9" s="25" t="inlineStr">
        <is>
          <t>Servidor DNS de Google. Traduce nombres como www.google.com a IPs.</t>
        </is>
      </c>
    </row>
    <row r="10" ht="22" customHeight="1">
      <c r="A10" s="20" t="inlineStr">
        <is>
          <t>DNS secundario</t>
        </is>
      </c>
      <c r="B10" s="23" t="inlineStr">
        <is>
          <t>1.1.1.1</t>
        </is>
      </c>
      <c r="C10" s="21" t="inlineStr">
        <is>
          <t>DNS de Cloudflare. Se usa si el primario falla.</t>
        </is>
      </c>
    </row>
    <row r="11" ht="22" customHeight="1">
      <c r="A11" s="24" t="inlineStr">
        <is>
          <t>Rango DHCP dinámico</t>
        </is>
      </c>
      <c r="B11" s="27" t="inlineStr">
        <is>
          <t>192.168.10.50 – .150</t>
        </is>
      </c>
      <c r="C11" s="25" t="inlineStr">
        <is>
          <t>IPs que el router asigna automáticamente a equipos nuevos.</t>
        </is>
      </c>
    </row>
    <row r="12" ht="22" customHeight="1">
      <c r="A12" s="20" t="inlineStr">
        <is>
          <t>Rango reservado manual</t>
        </is>
      </c>
      <c r="B12" s="23" t="inlineStr">
        <is>
          <t>192.168.10.1 – .49</t>
        </is>
      </c>
      <c r="C12" s="21" t="inlineStr">
        <is>
          <t>IPs para infraestructura, servidores e impresoras (fijas).</t>
        </is>
      </c>
    </row>
    <row r="13" ht="22" customHeight="1">
      <c r="A13" s="24" t="inlineStr">
        <is>
          <t>Rango libre</t>
        </is>
      </c>
      <c r="B13" s="27" t="inlineStr">
        <is>
          <t>192.168.10.151 – .254</t>
        </is>
      </c>
      <c r="C13" s="25" t="inlineStr">
        <is>
          <t>Reservado para expansión futura de la empresa.</t>
        </is>
      </c>
    </row>
    <row r="14" ht="22" customHeight="1">
      <c r="A14" s="20" t="inlineStr">
        <is>
          <t>Tipo de red</t>
        </is>
      </c>
      <c r="B14" s="23" t="inlineStr">
        <is>
          <t>LAN privada clase C</t>
        </is>
      </c>
      <c r="C14" s="21" t="inlineStr">
        <is>
          <t>RFC 1918: rango privado 192.168.0.0 – 192.168.255.255.</t>
        </is>
      </c>
    </row>
    <row r="15" ht="22" customHeight="1">
      <c r="A15" s="24" t="inlineStr">
        <is>
          <t>Velocidad backbone</t>
        </is>
      </c>
      <c r="B15" s="27" t="inlineStr">
        <is>
          <t>1 Gbps (Gigabit)</t>
        </is>
      </c>
      <c r="C15" s="25" t="inlineStr">
        <is>
          <t>Switch y cableado Cat 6 soportan 1 Gbps por puerto.</t>
        </is>
      </c>
    </row>
    <row r="16" ht="22" customHeight="1">
      <c r="A16" s="20" t="inlineStr">
        <is>
          <t>Cableado físico</t>
        </is>
      </c>
      <c r="B16" s="23" t="inlineStr">
        <is>
          <t>UTP Cat 6 + RJ-45</t>
        </is>
      </c>
      <c r="C16" s="21" t="inlineStr">
        <is>
          <t>Estándar TIA-568B. Máx. 100 m por segmento.</t>
        </is>
      </c>
    </row>
    <row r="17" ht="22" customHeight="1">
      <c r="A17" s="24" t="inlineStr">
        <is>
          <t>Wi-Fi</t>
        </is>
      </c>
      <c r="B17" s="27" t="inlineStr">
        <is>
          <t>802.11ac (Wi-Fi 5)</t>
        </is>
      </c>
      <c r="C17" s="25" t="inlineStr">
        <is>
          <t>Banda 5 GHz, hasta 867 Mbps. WPA3-Personal.</t>
        </is>
      </c>
    </row>
    <row r="18" ht="22" customHeight="1">
      <c r="A18" s="20" t="inlineStr">
        <is>
          <t>Segmentación</t>
        </is>
      </c>
      <c r="B18" s="23" t="inlineStr">
        <is>
          <t>VLANs (básico)</t>
        </is>
      </c>
      <c r="C18" s="21" t="inlineStr">
        <is>
          <t>VLAN 10: puestos trabajo / VLAN 20: gestión (servidor, red).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28" customWidth="1" min="4" max="4"/>
    <col width="32" customWidth="1" min="5" max="5"/>
  </cols>
  <sheetData>
    <row r="1" ht="40" customHeight="1">
      <c r="A1" s="1" t="inlineStr">
        <is>
          <t>Tabla ARP Simulada — Ejemplo de salida del comando 'arp -a'</t>
        </is>
      </c>
    </row>
    <row r="2" ht="16" customHeight="1">
      <c r="A2" s="2" t="inlineStr">
        <is>
          <t>TechOficina S.L.  ·  Módulo 0224 Redes Locales  ·  Curso 2025–2026</t>
        </is>
      </c>
    </row>
    <row r="3" ht="30" customHeight="1">
      <c r="A3" s="3" t="inlineStr">
        <is>
          <t>Dirección IP</t>
        </is>
      </c>
      <c r="B3" s="3" t="inlineStr">
        <is>
          <t>Dirección MAC (física)</t>
        </is>
      </c>
      <c r="C3" s="3" t="inlineStr">
        <is>
          <t>Tipo</t>
        </is>
      </c>
      <c r="D3" s="3" t="inlineStr">
        <is>
          <t>Equipo</t>
        </is>
      </c>
      <c r="E3" s="3" t="inlineStr">
        <is>
          <t>Ubicación / Notas</t>
        </is>
      </c>
    </row>
    <row r="4" ht="22" customHeight="1">
      <c r="A4" s="7" t="inlineStr">
        <is>
          <t>192.168.10.1</t>
        </is>
      </c>
      <c r="B4" s="38" t="inlineStr">
        <is>
          <t>00-1A-2B-3C-4D-01</t>
        </is>
      </c>
      <c r="C4" s="8" t="inlineStr">
        <is>
          <t>Estática</t>
        </is>
      </c>
      <c r="D4" s="6" t="inlineStr">
        <is>
          <t>RT-001 — Mikrotik hEX S (Router)</t>
        </is>
      </c>
      <c r="E4" s="39" t="inlineStr">
        <is>
          <t>Sala servidores</t>
        </is>
      </c>
    </row>
    <row r="5" ht="22" customHeight="1">
      <c r="A5" s="7" t="inlineStr">
        <is>
          <t>192.168.10.2</t>
        </is>
      </c>
      <c r="B5" s="38" t="inlineStr">
        <is>
          <t>00-1A-2B-3C-4D-02</t>
        </is>
      </c>
      <c r="C5" s="8" t="inlineStr">
        <is>
          <t>Estática</t>
        </is>
      </c>
      <c r="D5" s="6" t="inlineStr">
        <is>
          <t>SW-001 — TP-Link Switch (gestión)</t>
        </is>
      </c>
      <c r="E5" s="39" t="inlineStr">
        <is>
          <t>Sala servidores</t>
        </is>
      </c>
    </row>
    <row r="6" ht="22" customHeight="1">
      <c r="A6" s="7" t="inlineStr">
        <is>
          <t>192.168.10.5</t>
        </is>
      </c>
      <c r="B6" s="38" t="inlineStr">
        <is>
          <t>00-1A-2B-3C-4D-05</t>
        </is>
      </c>
      <c r="C6" s="8" t="inlineStr">
        <is>
          <t>Estática</t>
        </is>
      </c>
      <c r="D6" s="6" t="inlineStr">
        <is>
          <t>AP-001 — TP-Link EAP225 (Wi-Fi)</t>
        </is>
      </c>
      <c r="E6" s="39" t="inlineStr">
        <is>
          <t>Techo oficina</t>
        </is>
      </c>
    </row>
    <row r="7" ht="22" customHeight="1">
      <c r="A7" s="31" t="inlineStr">
        <is>
          <t>192.168.10.11</t>
        </is>
      </c>
      <c r="B7" s="40" t="inlineStr">
        <is>
          <t>A4-C3-F0-11-22-33</t>
        </is>
      </c>
      <c r="C7" s="32" t="inlineStr">
        <is>
          <t>Dinámica</t>
        </is>
      </c>
      <c r="D7" s="30" t="inlineStr">
        <is>
          <t>PC-001 — Carlos López</t>
        </is>
      </c>
      <c r="E7" s="41" t="inlineStr">
        <is>
          <t>Zona administración</t>
        </is>
      </c>
    </row>
    <row r="8" ht="22" customHeight="1">
      <c r="A8" s="31" t="inlineStr">
        <is>
          <t>192.168.10.12</t>
        </is>
      </c>
      <c r="B8" s="40" t="inlineStr">
        <is>
          <t>A4-C3-F0-44-55-66</t>
        </is>
      </c>
      <c r="C8" s="32" t="inlineStr">
        <is>
          <t>Dinámica</t>
        </is>
      </c>
      <c r="D8" s="30" t="inlineStr">
        <is>
          <t>PC-002 — María García</t>
        </is>
      </c>
      <c r="E8" s="41" t="inlineStr">
        <is>
          <t>Área técnica</t>
        </is>
      </c>
    </row>
    <row r="9" ht="22" customHeight="1">
      <c r="A9" s="31" t="inlineStr">
        <is>
          <t>192.168.10.13</t>
        </is>
      </c>
      <c r="B9" s="40" t="inlineStr">
        <is>
          <t>A4-C3-F0-77-88-99</t>
        </is>
      </c>
      <c r="C9" s="32" t="inlineStr">
        <is>
          <t>Dinámica</t>
        </is>
      </c>
      <c r="D9" s="30" t="inlineStr">
        <is>
          <t>PC-003 — Luis Torres</t>
        </is>
      </c>
      <c r="E9" s="41" t="inlineStr">
        <is>
          <t>Área técnica</t>
        </is>
      </c>
    </row>
    <row r="10" ht="22" customHeight="1">
      <c r="A10" s="31" t="inlineStr">
        <is>
          <t>192.168.10.14</t>
        </is>
      </c>
      <c r="B10" s="40" t="inlineStr">
        <is>
          <t>A4-C3-F0-AA-BB-CC</t>
        </is>
      </c>
      <c r="C10" s="32" t="inlineStr">
        <is>
          <t>Dinámica</t>
        </is>
      </c>
      <c r="D10" s="30" t="inlineStr">
        <is>
          <t>PC-004 — Pedro Sánchez</t>
        </is>
      </c>
      <c r="E10" s="41" t="inlineStr">
        <is>
          <t>Zona administración</t>
        </is>
      </c>
    </row>
    <row r="11" ht="22" customHeight="1">
      <c r="A11" s="7" t="inlineStr">
        <is>
          <t>192.168.10.20</t>
        </is>
      </c>
      <c r="B11" s="38" t="inlineStr">
        <is>
          <t>00-11-32-AB-CD-EF</t>
        </is>
      </c>
      <c r="C11" s="8" t="inlineStr">
        <is>
          <t>Estática</t>
        </is>
      </c>
      <c r="D11" s="6" t="inlineStr">
        <is>
          <t>SRV-001 — Synology NAS</t>
        </is>
      </c>
      <c r="E11" s="39" t="inlineStr">
        <is>
          <t>Sala servidores</t>
        </is>
      </c>
    </row>
    <row r="12" ht="22" customHeight="1">
      <c r="A12" s="7" t="inlineStr">
        <is>
          <t>192.168.10.30</t>
        </is>
      </c>
      <c r="B12" s="38" t="inlineStr">
        <is>
          <t>3C-52-82-11-22-33</t>
        </is>
      </c>
      <c r="C12" s="8" t="inlineStr">
        <is>
          <t>Estática</t>
        </is>
      </c>
      <c r="D12" s="6" t="inlineStr">
        <is>
          <t>IMP-001 — HP LaserJet MFP</t>
        </is>
      </c>
      <c r="E12" s="39" t="inlineStr">
        <is>
          <t>Zona administración</t>
        </is>
      </c>
    </row>
    <row r="13" ht="22" customHeight="1">
      <c r="A13" s="31" t="inlineStr">
        <is>
          <t>192.168.10.51</t>
        </is>
      </c>
      <c r="B13" s="40" t="inlineStr">
        <is>
          <t>B4-2E-99-A1-B2-C3</t>
        </is>
      </c>
      <c r="C13" s="32" t="inlineStr">
        <is>
          <t>Dinámica</t>
        </is>
      </c>
      <c r="D13" s="30" t="inlineStr">
        <is>
          <t>LT-001 — Portátil María García</t>
        </is>
      </c>
      <c r="E13" s="41" t="inlineStr">
        <is>
          <t>Wi-Fi (variable)</t>
        </is>
      </c>
    </row>
    <row r="14" ht="22" customHeight="1">
      <c r="A14" s="31" t="inlineStr">
        <is>
          <t>192.168.10.52</t>
        </is>
      </c>
      <c r="B14" s="40" t="inlineStr">
        <is>
          <t>B4-2E-99-D4-E5-F6</t>
        </is>
      </c>
      <c r="C14" s="32" t="inlineStr">
        <is>
          <t>Dinámica</t>
        </is>
      </c>
      <c r="D14" s="30" t="inlineStr">
        <is>
          <t>LT-002 — Portátil Luis Torres</t>
        </is>
      </c>
      <c r="E14" s="41" t="inlineStr">
        <is>
          <t>Wi-Fi (variable)</t>
        </is>
      </c>
    </row>
    <row r="15" ht="22" customHeight="1">
      <c r="A15" s="7" t="inlineStr">
        <is>
          <t>192.168.10.255</t>
        </is>
      </c>
      <c r="B15" s="38" t="inlineStr">
        <is>
          <t>FF-FF-FF-FF-FF-FF</t>
        </is>
      </c>
      <c r="C15" s="8" t="inlineStr">
        <is>
          <t>Estática</t>
        </is>
      </c>
      <c r="D15" s="6" t="inlineStr">
        <is>
          <t>Broadcast de la red</t>
        </is>
      </c>
      <c r="E15" s="39" t="inlineStr">
        <is>
          <t>Toda la red</t>
        </is>
      </c>
    </row>
    <row r="17" ht="30" customHeight="1">
      <c r="A17" s="42" t="inlineStr">
        <is>
          <t>NOTA: Las MACs mostradas son ejemplos ilustrativos. Las MACs reales se leen con 'arp -a' en cada equipo o desde el panel de administración del router/switch.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2" customWidth="1" min="3" max="3"/>
    <col width="44" customWidth="1" min="4" max="4"/>
  </cols>
  <sheetData>
    <row r="1" ht="40" customHeight="1">
      <c r="A1" s="1" t="inlineStr">
        <is>
          <t>Comandos de Diagnóstico de Red — Referencia Rápida</t>
        </is>
      </c>
    </row>
    <row r="2" ht="16" customHeight="1">
      <c r="A2" s="2" t="inlineStr">
        <is>
          <t>TechOficina S.L.  ·  Módulo 0224 Redes Locales  ·  Curso 2025–2026</t>
        </is>
      </c>
    </row>
    <row r="3" ht="30" customHeight="1">
      <c r="A3" s="3" t="inlineStr">
        <is>
          <t>Comando</t>
        </is>
      </c>
      <c r="B3" s="3" t="inlineStr">
        <is>
          <t>Plataforma</t>
        </is>
      </c>
      <c r="C3" s="3" t="inlineStr">
        <is>
          <t>Para qué sirve</t>
        </is>
      </c>
      <c r="D3" s="3" t="inlineStr">
        <is>
          <t>Ejemplo de uso</t>
        </is>
      </c>
    </row>
    <row r="4" ht="20" customHeight="1">
      <c r="A4" s="4">
        <f>== CONECTIVIDAD ===</f>
        <v/>
      </c>
    </row>
    <row r="5" ht="22" customHeight="1">
      <c r="A5" s="43" t="inlineStr">
        <is>
          <t>ping 127.0.0.1</t>
        </is>
      </c>
      <c r="B5" s="44" t="inlineStr">
        <is>
          <t>Win / Linux</t>
        </is>
      </c>
      <c r="C5" s="45" t="inlineStr">
        <is>
          <t>Verifica que la tarjeta de red del propio equipo funciona.</t>
        </is>
      </c>
      <c r="D5" s="46" t="inlineStr">
        <is>
          <t>ping 127.0.0.1</t>
        </is>
      </c>
    </row>
    <row r="6" ht="22" customHeight="1">
      <c r="A6" s="47" t="inlineStr">
        <is>
          <t>ping [IP]</t>
        </is>
      </c>
      <c r="B6" s="44" t="inlineStr">
        <is>
          <t>Win / Linux</t>
        </is>
      </c>
      <c r="C6" s="48" t="inlineStr">
        <is>
          <t>Comprueba si otro equipo está activo y accesible.</t>
        </is>
      </c>
      <c r="D6" s="49" t="inlineStr">
        <is>
          <t>ping 192.168.10.1   (al router)</t>
        </is>
      </c>
    </row>
    <row r="7" ht="22" customHeight="1">
      <c r="A7" s="43" t="inlineStr">
        <is>
          <t>ping -t [IP]</t>
        </is>
      </c>
      <c r="B7" s="50" t="inlineStr">
        <is>
          <t>Windows</t>
        </is>
      </c>
      <c r="C7" s="45" t="inlineStr">
        <is>
          <t>Ping continuo hasta que se cancela con Ctrl+C. Útil para detectar cortes.</t>
        </is>
      </c>
      <c r="D7" s="46" t="inlineStr">
        <is>
          <t>ping -t 192.168.10.20</t>
        </is>
      </c>
    </row>
    <row r="8" ht="22" customHeight="1">
      <c r="A8" s="47" t="inlineStr">
        <is>
          <t>ping -c 4 [IP]</t>
        </is>
      </c>
      <c r="B8" s="51" t="inlineStr">
        <is>
          <t>Linux</t>
        </is>
      </c>
      <c r="C8" s="48" t="inlineStr">
        <is>
          <t>Envía exactamente 4 paquetes de prueba.</t>
        </is>
      </c>
      <c r="D8" s="49" t="inlineStr">
        <is>
          <t>ping -c 4 192.168.10.1</t>
        </is>
      </c>
    </row>
    <row r="9" ht="22" customHeight="1">
      <c r="A9" s="43" t="inlineStr">
        <is>
          <t>tracert [IP/nombre]</t>
        </is>
      </c>
      <c r="B9" s="50" t="inlineStr">
        <is>
          <t>Windows</t>
        </is>
      </c>
      <c r="C9" s="45" t="inlineStr">
        <is>
          <t>Muestra todos los routers (saltos) que atraviesa el tráfico hasta el destino.</t>
        </is>
      </c>
      <c r="D9" s="46" t="inlineStr">
        <is>
          <t>tracert 8.8.8.8</t>
        </is>
      </c>
    </row>
    <row r="10" ht="22" customHeight="1">
      <c r="A10" s="47" t="inlineStr">
        <is>
          <t>traceroute [IP]</t>
        </is>
      </c>
      <c r="B10" s="51" t="inlineStr">
        <is>
          <t>Linux</t>
        </is>
      </c>
      <c r="C10" s="48" t="inlineStr">
        <is>
          <t>Igual que tracert pero en Linux.</t>
        </is>
      </c>
      <c r="D10" s="49" t="inlineStr">
        <is>
          <t>traceroute 8.8.8.8</t>
        </is>
      </c>
    </row>
    <row r="11" ht="20" customHeight="1">
      <c r="A11" s="9">
        <f>== CONFIGURACIÓN IP ===</f>
        <v/>
      </c>
    </row>
    <row r="12" ht="22" customHeight="1">
      <c r="A12" s="47" t="inlineStr">
        <is>
          <t>ipconfig</t>
        </is>
      </c>
      <c r="B12" s="50" t="inlineStr">
        <is>
          <t>Windows</t>
        </is>
      </c>
      <c r="C12" s="48" t="inlineStr">
        <is>
          <t>Muestra la IP, máscara y gateway de todos los adaptadores.</t>
        </is>
      </c>
      <c r="D12" s="49" t="inlineStr">
        <is>
          <t>ipconfig</t>
        </is>
      </c>
    </row>
    <row r="13" ht="22" customHeight="1">
      <c r="A13" s="43" t="inlineStr">
        <is>
          <t>ipconfig /all</t>
        </is>
      </c>
      <c r="B13" s="50" t="inlineStr">
        <is>
          <t>Windows</t>
        </is>
      </c>
      <c r="C13" s="45" t="inlineStr">
        <is>
          <t>Muestra información detallada: IP, MAC, DNS, DHCP, etc.</t>
        </is>
      </c>
      <c r="D13" s="46" t="inlineStr">
        <is>
          <t>ipconfig /all</t>
        </is>
      </c>
    </row>
    <row r="14" ht="22" customHeight="1">
      <c r="A14" s="47" t="inlineStr">
        <is>
          <t>ipconfig /release</t>
        </is>
      </c>
      <c r="B14" s="50" t="inlineStr">
        <is>
          <t>Windows</t>
        </is>
      </c>
      <c r="C14" s="48" t="inlineStr">
        <is>
          <t>Libera la IP asignada por DHCP.</t>
        </is>
      </c>
      <c r="D14" s="49" t="inlineStr">
        <is>
          <t>ipconfig /release</t>
        </is>
      </c>
    </row>
    <row r="15" ht="22" customHeight="1">
      <c r="A15" s="43" t="inlineStr">
        <is>
          <t>ipconfig /renew</t>
        </is>
      </c>
      <c r="B15" s="50" t="inlineStr">
        <is>
          <t>Windows</t>
        </is>
      </c>
      <c r="C15" s="45" t="inlineStr">
        <is>
          <t>Solicita una nueva IP al servidor DHCP.</t>
        </is>
      </c>
      <c r="D15" s="46" t="inlineStr">
        <is>
          <t>ipconfig /renew</t>
        </is>
      </c>
    </row>
    <row r="16" ht="22" customHeight="1">
      <c r="A16" s="47" t="inlineStr">
        <is>
          <t>ipconfig /flushdns</t>
        </is>
      </c>
      <c r="B16" s="50" t="inlineStr">
        <is>
          <t>Windows</t>
        </is>
      </c>
      <c r="C16" s="48" t="inlineStr">
        <is>
          <t>Borra la caché de DNS local (útil si hay problemas de resolución de nombres).</t>
        </is>
      </c>
      <c r="D16" s="49" t="inlineStr">
        <is>
          <t>ipconfig /flushdns</t>
        </is>
      </c>
    </row>
    <row r="17" ht="22" customHeight="1">
      <c r="A17" s="43" t="inlineStr">
        <is>
          <t>ip a   /   ip addr</t>
        </is>
      </c>
      <c r="B17" s="51" t="inlineStr">
        <is>
          <t>Linux</t>
        </is>
      </c>
      <c r="C17" s="45" t="inlineStr">
        <is>
          <t>Muestra la configuración de red en Linux (equivalente a ipconfig).</t>
        </is>
      </c>
      <c r="D17" s="46" t="inlineStr">
        <is>
          <t>ip a</t>
        </is>
      </c>
    </row>
    <row r="18" ht="22" customHeight="1">
      <c r="A18" s="47" t="inlineStr">
        <is>
          <t>ip route</t>
        </is>
      </c>
      <c r="B18" s="51" t="inlineStr">
        <is>
          <t>Linux</t>
        </is>
      </c>
      <c r="C18" s="48" t="inlineStr">
        <is>
          <t>Muestra la tabla de rutas (equivalente a route print).</t>
        </is>
      </c>
      <c r="D18" s="49" t="inlineStr">
        <is>
          <t>ip route</t>
        </is>
      </c>
    </row>
    <row r="19" ht="20" customHeight="1">
      <c r="A19" s="28">
        <f>== ARP Y TABLA DE RUTAS ===</f>
        <v/>
      </c>
    </row>
    <row r="20" ht="22" customHeight="1">
      <c r="A20" s="47" t="inlineStr">
        <is>
          <t>arp -a</t>
        </is>
      </c>
      <c r="B20" s="44" t="inlineStr">
        <is>
          <t>Win / Linux</t>
        </is>
      </c>
      <c r="C20" s="48" t="inlineStr">
        <is>
          <t>Muestra la tabla ARP: lista de IPs y MACs conocidas en la red local.</t>
        </is>
      </c>
      <c r="D20" s="49" t="inlineStr">
        <is>
          <t>arp -a</t>
        </is>
      </c>
    </row>
    <row r="21" ht="22" customHeight="1">
      <c r="A21" s="43" t="inlineStr">
        <is>
          <t>route print</t>
        </is>
      </c>
      <c r="B21" s="50" t="inlineStr">
        <is>
          <t>Windows</t>
        </is>
      </c>
      <c r="C21" s="45" t="inlineStr">
        <is>
          <t>Muestra la tabla de rutas del equipo.</t>
        </is>
      </c>
      <c r="D21" s="46" t="inlineStr">
        <is>
          <t>route print</t>
        </is>
      </c>
    </row>
    <row r="22" ht="20" customHeight="1">
      <c r="A22" s="33">
        <f>== DNS Y NOMBRES ===</f>
        <v/>
      </c>
    </row>
    <row r="23" ht="22" customHeight="1">
      <c r="A23" s="43" t="inlineStr">
        <is>
          <t>nslookup [nombre]</t>
        </is>
      </c>
      <c r="B23" s="44" t="inlineStr">
        <is>
          <t>Win / Linux</t>
        </is>
      </c>
      <c r="C23" s="45" t="inlineStr">
        <is>
          <t>Resuelve un nombre de dominio a su IP usando el DNS configurado.</t>
        </is>
      </c>
      <c r="D23" s="46" t="inlineStr">
        <is>
          <t>nslookup www.google.com</t>
        </is>
      </c>
    </row>
    <row r="24" ht="22" customHeight="1">
      <c r="A24" s="47" t="inlineStr">
        <is>
          <t>nslookup [nombre] [DNS]</t>
        </is>
      </c>
      <c r="B24" s="44" t="inlineStr">
        <is>
          <t>Win / Linux</t>
        </is>
      </c>
      <c r="C24" s="48" t="inlineStr">
        <is>
          <t>Consulta un servidor DNS específico.</t>
        </is>
      </c>
      <c r="D24" s="49" t="inlineStr">
        <is>
          <t>nslookup google.com 8.8.8.8</t>
        </is>
      </c>
    </row>
    <row r="25" ht="20" customHeight="1">
      <c r="A25" s="19">
        <f>== CONEXIONES ACTIVAS ===</f>
        <v/>
      </c>
    </row>
    <row r="26" ht="22" customHeight="1">
      <c r="A26" s="47" t="inlineStr">
        <is>
          <t>netstat -n</t>
        </is>
      </c>
      <c r="B26" s="50" t="inlineStr">
        <is>
          <t>Windows</t>
        </is>
      </c>
      <c r="C26" s="48" t="inlineStr">
        <is>
          <t>Lista todas las conexiones de red activas con IPs y puertos.</t>
        </is>
      </c>
      <c r="D26" s="49" t="inlineStr">
        <is>
          <t>netstat -n</t>
        </is>
      </c>
    </row>
    <row r="27" ht="22" customHeight="1">
      <c r="A27" s="43" t="inlineStr">
        <is>
          <t>netstat -an</t>
        </is>
      </c>
      <c r="B27" s="44" t="inlineStr">
        <is>
          <t>Win / Linux</t>
        </is>
      </c>
      <c r="C27" s="45" t="inlineStr">
        <is>
          <t>Muestra conexiones y puertos en escucha del equipo.</t>
        </is>
      </c>
      <c r="D27" s="46" t="inlineStr">
        <is>
          <t>netstat -an</t>
        </is>
      </c>
    </row>
    <row r="28" ht="20" customHeight="1">
      <c r="A28" s="4">
        <f>== RECURSOS COMPARTIDOS ===</f>
        <v/>
      </c>
    </row>
    <row r="29" ht="22" customHeight="1">
      <c r="A29" s="43" t="inlineStr">
        <is>
          <t>net view \\[IP]</t>
        </is>
      </c>
      <c r="B29" s="50" t="inlineStr">
        <is>
          <t>Windows</t>
        </is>
      </c>
      <c r="C29" s="45" t="inlineStr">
        <is>
          <t>Muestra los recursos (carpetas) compartidos de un equipo de la red.</t>
        </is>
      </c>
      <c r="D29" s="46" t="inlineStr">
        <is>
          <t>net view \\192.168.10.20</t>
        </is>
      </c>
    </row>
    <row r="30" ht="22" customHeight="1">
      <c r="A30" s="47" t="inlineStr">
        <is>
          <t>net use Z: \\[IP]\[carpeta]</t>
        </is>
      </c>
      <c r="B30" s="50" t="inlineStr">
        <is>
          <t>Windows</t>
        </is>
      </c>
      <c r="C30" s="48" t="inlineStr">
        <is>
          <t>Conecta una carpeta de red como unidad Z:</t>
        </is>
      </c>
      <c r="D30" s="49" t="inlineStr">
        <is>
          <t>net use Z: \\192.168.10.20\Documentos</t>
        </is>
      </c>
    </row>
  </sheetData>
  <mergeCells count="8">
    <mergeCell ref="A1:D1"/>
    <mergeCell ref="A22:D22"/>
    <mergeCell ref="A11:D11"/>
    <mergeCell ref="A4:D4"/>
    <mergeCell ref="A25:D25"/>
    <mergeCell ref="A19:D19"/>
    <mergeCell ref="A2:D2"/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6" customWidth="1" min="3" max="3"/>
    <col width="12" customWidth="1" min="4" max="4"/>
    <col width="30" customWidth="1" min="5" max="5"/>
  </cols>
  <sheetData>
    <row r="1" ht="40" customHeight="1">
      <c r="A1" s="1" t="inlineStr">
        <is>
          <t>Checklist de Verificación de la Red — TechOficina S.L.</t>
        </is>
      </c>
    </row>
    <row r="2" ht="16" customHeight="1">
      <c r="A2" s="2" t="inlineStr">
        <is>
          <t>TechOficina S.L.  ·  Módulo 0224 Redes Locales  ·  Curso 2025–2026</t>
        </is>
      </c>
    </row>
    <row r="3" ht="30" customHeight="1">
      <c r="A3" s="3" t="inlineStr">
        <is>
          <t>Prueba</t>
        </is>
      </c>
      <c r="B3" s="3" t="inlineStr">
        <is>
          <t>Comando</t>
        </is>
      </c>
      <c r="C3" s="3" t="inlineStr">
        <is>
          <t>Resultado esperado</t>
        </is>
      </c>
      <c r="D3" s="3" t="inlineStr">
        <is>
          <t>Estado</t>
        </is>
      </c>
      <c r="E3" s="3" t="inlineStr">
        <is>
          <t>Notas / Fecha comprobación</t>
        </is>
      </c>
    </row>
    <row r="4" ht="20" customHeight="1">
      <c r="A4" s="4">
        <f>== PRUEBAS BÁSICAS DE CONECTIVIDAD ===</f>
        <v/>
      </c>
    </row>
    <row r="5" ht="24" customHeight="1">
      <c r="A5" s="24" t="inlineStr">
        <is>
          <t>Ping al propio equipo (loopback)</t>
        </is>
      </c>
      <c r="B5" s="52" t="inlineStr">
        <is>
          <t>ping 127.0.0.1</t>
        </is>
      </c>
      <c r="C5" s="45" t="inlineStr">
        <is>
          <t>4 respuestas, tiempo &lt; 1 ms</t>
        </is>
      </c>
      <c r="D5" s="53" t="inlineStr">
        <is>
          <t>☐ OK</t>
        </is>
      </c>
      <c r="E5" s="54" t="inlineStr"/>
    </row>
    <row r="6" ht="24" customHeight="1">
      <c r="A6" s="20" t="inlineStr">
        <is>
          <t>Ping al router (puerta de enlace)</t>
        </is>
      </c>
      <c r="B6" s="55" t="inlineStr">
        <is>
          <t>ping 192.168.10.1</t>
        </is>
      </c>
      <c r="C6" s="48" t="inlineStr">
        <is>
          <t>4 respuestas, tiempo &lt; 5 ms</t>
        </is>
      </c>
      <c r="D6" s="53" t="inlineStr">
        <is>
          <t>☐ OK</t>
        </is>
      </c>
      <c r="E6" s="56" t="inlineStr"/>
    </row>
    <row r="7" ht="24" customHeight="1">
      <c r="A7" s="24" t="inlineStr">
        <is>
          <t>Ping al switch (gestión)</t>
        </is>
      </c>
      <c r="B7" s="52" t="inlineStr">
        <is>
          <t>ping 192.168.10.2</t>
        </is>
      </c>
      <c r="C7" s="45" t="inlineStr">
        <is>
          <t>4 respuestas</t>
        </is>
      </c>
      <c r="D7" s="53" t="inlineStr">
        <is>
          <t>☐ OK</t>
        </is>
      </c>
      <c r="E7" s="54" t="inlineStr"/>
    </row>
    <row r="8" ht="24" customHeight="1">
      <c r="A8" s="20" t="inlineStr">
        <is>
          <t>Ping al servidor NAS</t>
        </is>
      </c>
      <c r="B8" s="55" t="inlineStr">
        <is>
          <t>ping 192.168.10.20</t>
        </is>
      </c>
      <c r="C8" s="48" t="inlineStr">
        <is>
          <t>4 respuestas</t>
        </is>
      </c>
      <c r="D8" s="53" t="inlineStr">
        <is>
          <t>☐ OK</t>
        </is>
      </c>
      <c r="E8" s="56" t="inlineStr"/>
    </row>
    <row r="9" ht="24" customHeight="1">
      <c r="A9" s="24" t="inlineStr">
        <is>
          <t>Ping a la impresora</t>
        </is>
      </c>
      <c r="B9" s="52" t="inlineStr">
        <is>
          <t>ping 192.168.10.30</t>
        </is>
      </c>
      <c r="C9" s="45" t="inlineStr">
        <is>
          <t>4 respuestas</t>
        </is>
      </c>
      <c r="D9" s="53" t="inlineStr">
        <is>
          <t>☐ OK</t>
        </is>
      </c>
      <c r="E9" s="54" t="inlineStr"/>
    </row>
    <row r="10" ht="24" customHeight="1">
      <c r="A10" s="20" t="inlineStr">
        <is>
          <t>Ping a Internet (IP)</t>
        </is>
      </c>
      <c r="B10" s="55" t="inlineStr">
        <is>
          <t>ping 8.8.8.8</t>
        </is>
      </c>
      <c r="C10" s="48" t="inlineStr">
        <is>
          <t>4 respuestas, tiempo 10–30 ms</t>
        </is>
      </c>
      <c r="D10" s="53" t="inlineStr">
        <is>
          <t>☐ OK</t>
        </is>
      </c>
      <c r="E10" s="56" t="inlineStr"/>
    </row>
    <row r="11" ht="24" customHeight="1">
      <c r="A11" s="24" t="inlineStr">
        <is>
          <t>Ping a Internet (nombre)</t>
        </is>
      </c>
      <c r="B11" s="52" t="inlineStr">
        <is>
          <t>ping www.google.com</t>
        </is>
      </c>
      <c r="C11" s="45" t="inlineStr">
        <is>
          <t>Resuelve IP + 4 respuestas</t>
        </is>
      </c>
      <c r="D11" s="53" t="inlineStr">
        <is>
          <t>☐ OK</t>
        </is>
      </c>
      <c r="E11" s="54" t="inlineStr">
        <is>
          <t>DNS funciona</t>
        </is>
      </c>
    </row>
    <row r="12" ht="20" customHeight="1">
      <c r="A12" s="9">
        <f>== SERVICIOS DE RED ===</f>
        <v/>
      </c>
    </row>
    <row r="13" ht="24" customHeight="1">
      <c r="A13" s="24" t="inlineStr">
        <is>
          <t>Acceder a carpeta compartida NAS</t>
        </is>
      </c>
      <c r="B13" s="52" t="inlineStr">
        <is>
          <t>net view \\192.168.10.20</t>
        </is>
      </c>
      <c r="C13" s="45" t="inlineStr">
        <is>
          <t>Lista carpetas compartidas</t>
        </is>
      </c>
      <c r="D13" s="53" t="inlineStr">
        <is>
          <t>☐ OK</t>
        </is>
      </c>
      <c r="E13" s="54" t="inlineStr"/>
    </row>
    <row r="14" ht="24" customHeight="1">
      <c r="A14" s="20" t="inlineStr">
        <is>
          <t>Conectar unidad de red Z:</t>
        </is>
      </c>
      <c r="B14" s="55" t="inlineStr">
        <is>
          <t>net use Z: \\192.168.10.20\Documentos</t>
        </is>
      </c>
      <c r="C14" s="48" t="inlineStr">
        <is>
          <t>Unidad Z: disponible en explorador</t>
        </is>
      </c>
      <c r="D14" s="53" t="inlineStr">
        <is>
          <t>☐ OK</t>
        </is>
      </c>
      <c r="E14" s="56" t="inlineStr"/>
    </row>
    <row r="15" ht="24" customHeight="1">
      <c r="A15" s="24" t="inlineStr">
        <is>
          <t>Imprimir desde PC-001</t>
        </is>
      </c>
      <c r="B15" s="52" t="inlineStr">
        <is>
          <t>Test de impresión Windows</t>
        </is>
      </c>
      <c r="C15" s="45" t="inlineStr">
        <is>
          <t>Sale hoja de prueba</t>
        </is>
      </c>
      <c r="D15" s="53" t="inlineStr">
        <is>
          <t>☐ OK</t>
        </is>
      </c>
      <c r="E15" s="54" t="inlineStr"/>
    </row>
    <row r="16" ht="24" customHeight="1">
      <c r="A16" s="20" t="inlineStr">
        <is>
          <t>Acceso interfaz web impresora</t>
        </is>
      </c>
      <c r="B16" s="55" t="inlineStr">
        <is>
          <t>http://192.168.10.30 (navegador)</t>
        </is>
      </c>
      <c r="C16" s="48" t="inlineStr">
        <is>
          <t>Abre panel HP</t>
        </is>
      </c>
      <c r="D16" s="53" t="inlineStr">
        <is>
          <t>☐ OK</t>
        </is>
      </c>
      <c r="E16" s="56" t="inlineStr"/>
    </row>
    <row r="17" ht="24" customHeight="1">
      <c r="A17" s="24" t="inlineStr">
        <is>
          <t>Acceso panel NAS</t>
        </is>
      </c>
      <c r="B17" s="52" t="inlineStr">
        <is>
          <t>http://192.168.10.20:5000 (navegador)</t>
        </is>
      </c>
      <c r="C17" s="45" t="inlineStr">
        <is>
          <t>Login Synology DSM</t>
        </is>
      </c>
      <c r="D17" s="53" t="inlineStr">
        <is>
          <t>☐ OK</t>
        </is>
      </c>
      <c r="E17" s="54" t="inlineStr"/>
    </row>
    <row r="18" ht="24" customHeight="1">
      <c r="A18" s="20" t="inlineStr">
        <is>
          <t>Acceso panel router</t>
        </is>
      </c>
      <c r="B18" s="55" t="inlineStr">
        <is>
          <t>http://192.168.10.1 (navegador)</t>
        </is>
      </c>
      <c r="C18" s="48" t="inlineStr">
        <is>
          <t>Login Mikrotik WinBox/WebFig</t>
        </is>
      </c>
      <c r="D18" s="53" t="inlineStr">
        <is>
          <t>☐ OK</t>
        </is>
      </c>
      <c r="E18" s="56" t="inlineStr"/>
    </row>
    <row r="19" ht="20" customHeight="1">
      <c r="A19" s="28">
        <f>== WI-FI ===</f>
        <v/>
      </c>
    </row>
    <row r="20" ht="24" customHeight="1">
      <c r="A20" s="20" t="inlineStr">
        <is>
          <t>Conexión Wi-Fi desde LT-001</t>
        </is>
      </c>
      <c r="B20" s="55" t="inlineStr">
        <is>
          <t>Conectar a TechOficina-Corp</t>
        </is>
      </c>
      <c r="C20" s="48" t="inlineStr">
        <is>
          <t>IP 192.168.10.51 asignada</t>
        </is>
      </c>
      <c r="D20" s="53" t="inlineStr">
        <is>
          <t>☐ OK</t>
        </is>
      </c>
      <c r="E20" s="56" t="inlineStr">
        <is>
          <t>WPA3</t>
        </is>
      </c>
    </row>
    <row r="21" ht="24" customHeight="1">
      <c r="A21" s="24" t="inlineStr">
        <is>
          <t>Ping desde LT-001 al NAS</t>
        </is>
      </c>
      <c r="B21" s="52" t="inlineStr">
        <is>
          <t>ping 192.168.10.20</t>
        </is>
      </c>
      <c r="C21" s="45" t="inlineStr">
        <is>
          <t>4 respuestas</t>
        </is>
      </c>
      <c r="D21" s="53" t="inlineStr">
        <is>
          <t>☐ OK</t>
        </is>
      </c>
      <c r="E21" s="54" t="inlineStr"/>
    </row>
    <row r="22" ht="24" customHeight="1">
      <c r="A22" s="20" t="inlineStr">
        <is>
          <t>Red de invitados solo Internet</t>
        </is>
      </c>
      <c r="B22" s="55" t="inlineStr">
        <is>
          <t>ping 192.168.10.20 (desde guest)</t>
        </is>
      </c>
      <c r="C22" s="48" t="inlineStr">
        <is>
          <t>Sin respuesta (correcto: red aislada)</t>
        </is>
      </c>
      <c r="D22" s="53" t="inlineStr">
        <is>
          <t>☐ OK</t>
        </is>
      </c>
      <c r="E22" s="56" t="inlineStr">
        <is>
          <t>Seguridad</t>
        </is>
      </c>
    </row>
    <row r="23" ht="20" customHeight="1">
      <c r="A23" s="33">
        <f>== COPIAS DE SEGURIDAD ===</f>
        <v/>
      </c>
    </row>
    <row r="24" ht="24" customHeight="1">
      <c r="A24" s="20" t="inlineStr">
        <is>
          <t>Backup automático PC-001 → NAS</t>
        </is>
      </c>
      <c r="B24" s="55" t="inlineStr">
        <is>
          <t>Verificar carpeta Backups\PC-001\</t>
        </is>
      </c>
      <c r="C24" s="48" t="inlineStr">
        <is>
          <t>Archivos del día actual</t>
        </is>
      </c>
      <c r="D24" s="53" t="inlineStr">
        <is>
          <t>☐ OK</t>
        </is>
      </c>
      <c r="E24" s="56" t="inlineStr">
        <is>
          <t>Revisar cada lunes</t>
        </is>
      </c>
    </row>
    <row r="25" ht="24" customHeight="1">
      <c r="A25" s="24" t="inlineStr">
        <is>
          <t>Restaurar archivo de prueba</t>
        </is>
      </c>
      <c r="B25" s="52" t="inlineStr">
        <is>
          <t>Copiar archivo de Backups al escritorio</t>
        </is>
      </c>
      <c r="C25" s="45" t="inlineStr">
        <is>
          <t>Archivo se restaura íntegro</t>
        </is>
      </c>
      <c r="D25" s="53" t="inlineStr">
        <is>
          <t>☐ OK</t>
        </is>
      </c>
      <c r="E25" s="54" t="inlineStr">
        <is>
          <t>Prueba trimestral</t>
        </is>
      </c>
    </row>
  </sheetData>
  <mergeCells count="6">
    <mergeCell ref="A12:E12"/>
    <mergeCell ref="A4:E4"/>
    <mergeCell ref="A2:E2"/>
    <mergeCell ref="A19:E19"/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2026-05-22T21:33:32Z</dcterms:created>
  <dcterms:modified xmlns:dcterms="http://purl.org/dc/terms/" xmlns:xsi="http://www.w3.org/2001/XMLSchema-instance" xsi:type="dcterms:W3CDTF">2026-05-22T21:33:32Z</dcterms:modified>
</cp:coreProperties>
</file>